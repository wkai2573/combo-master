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招式" sheetId="1" r:id="rId5"/>
    <sheet state="visible" name="招式_效果" sheetId="2" r:id="rId6"/>
    <sheet state="visible" name="裝備／增益" sheetId="3" r:id="rId7"/>
    <sheet state="visible" name="角色" sheetId="4" r:id="rId8"/>
    <sheet state="visible" name="卡片效果解釋、範本" sheetId="5" r:id="rId9"/>
  </sheets>
  <definedNames/>
  <calcPr/>
</workbook>
</file>

<file path=xl/sharedStrings.xml><?xml version="1.0" encoding="utf-8"?>
<sst xmlns="http://schemas.openxmlformats.org/spreadsheetml/2006/main" count="308" uniqueCount="192">
  <si>
    <t>No.</t>
  </si>
  <si>
    <t>職業</t>
  </si>
  <si>
    <t>卡名</t>
  </si>
  <si>
    <t>經驗需求</t>
  </si>
  <si>
    <t>特徵</t>
  </si>
  <si>
    <t>裝備部位/增益</t>
  </si>
  <si>
    <t>攻擊</t>
  </si>
  <si>
    <t>持續時間</t>
  </si>
  <si>
    <t>效果</t>
  </si>
  <si>
    <t>防禦</t>
  </si>
  <si>
    <t>連擊值</t>
  </si>
  <si>
    <t>共用</t>
  </si>
  <si>
    <t>金手鐲</t>
  </si>
  <si>
    <t>吸血打擊</t>
  </si>
  <si>
    <t>飾品</t>
  </si>
  <si>
    <t>X</t>
  </si>
  <si>
    <t>黑桃1</t>
  </si>
  <si>
    <r>
      <rPr>
        <rFont val="Arial"/>
        <color theme="1"/>
      </rPr>
      <t>爆發階段開始時[蓋2]：此回合我方</t>
    </r>
    <r>
      <rPr>
        <rFont val="Arial"/>
        <color rgb="FFFF0000"/>
      </rPr>
      <t>爆發</t>
    </r>
    <r>
      <rPr>
        <rFont val="Arial"/>
        <color theme="1"/>
      </rPr>
      <t>改為『抽3』。</t>
    </r>
  </si>
  <si>
    <t>月光劍</t>
  </si>
  <si>
    <t>武器</t>
  </si>
  <si>
    <t>[頂]：傷害計算時，回復X。X=此次戰鬥對對手造成的傷害/3(無條件捨去)。</t>
  </si>
  <si>
    <t>戒備打擊</t>
  </si>
  <si>
    <t>增益階段開始時：打開我方1張覆蓋的經驗卡。</t>
  </si>
  <si>
    <t>[追]：此卡會計算防禦力。</t>
  </si>
  <si>
    <t>快速治療</t>
  </si>
  <si>
    <t>角色名</t>
  </si>
  <si>
    <t>法術</t>
  </si>
  <si>
    <t>生命值</t>
  </si>
  <si>
    <t>兔腳項鍊</t>
  </si>
  <si>
    <t>[發_蓋3]：回復3。</t>
  </si>
  <si>
    <t>覺醒效果</t>
  </si>
  <si>
    <t>布局</t>
  </si>
  <si>
    <t>變化</t>
  </si>
  <si>
    <t>[蓋2](回合1次)當我方追擊判定失敗時，額外翻1張卡做追擊判定。</t>
  </si>
  <si>
    <t>[發_蓋2]：捨棄1張手牌，選擇我方棄牌區1張卡放到牌組頂。</t>
  </si>
  <si>
    <t>精準追擊</t>
  </si>
  <si>
    <t>黑桃2</t>
  </si>
  <si>
    <t>劍士</t>
  </si>
  <si>
    <t>勇者</t>
  </si>
  <si>
    <t>[頂]：我方追擊改為：抽X，選擇手牌X張卡作為追擊判定。X=你的追擊數。</t>
  </si>
  <si>
    <t>力量爆破</t>
  </si>
  <si>
    <t>總和攻擊15以上時，攻擊+3</t>
  </si>
  <si>
    <t>總和攻擊條件改為10。</t>
  </si>
  <si>
    <t>[頂]：此卡攻擊力-6。
[追]：此卡追擊判定失敗。</t>
  </si>
  <si>
    <t>盜賊</t>
  </si>
  <si>
    <t>刺客</t>
  </si>
  <si>
    <t>3連擊</t>
  </si>
  <si>
    <t>判定成功時，攻擊+2</t>
  </si>
  <si>
    <t>黑桃3</t>
  </si>
  <si>
    <t>判定成功時，攻擊值+4</t>
  </si>
  <si>
    <t>[頂]：我方出招時，此卡連擊值可視為6或8。</t>
  </si>
  <si>
    <t>商人</t>
  </si>
  <si>
    <t>777</t>
  </si>
  <si>
    <t>抽牌時看牌組上方2張牌選1張加手牌，另一張放回底部</t>
  </si>
  <si>
    <t>此卡不能在起手階段打出。
[發]：展示雙方牌頂1張卡，若連擊值不相同則此卡捨棄。</t>
  </si>
  <si>
    <t>計算攻擊時手牌超過3張，攻擊值+3</t>
  </si>
  <si>
    <t>式不過3</t>
  </si>
  <si>
    <t>弓箭手</t>
  </si>
  <si>
    <t>黑桃4</t>
  </si>
  <si>
    <t>慢速治癒</t>
  </si>
  <si>
    <t>法師</t>
  </si>
  <si>
    <t>增益</t>
  </si>
  <si>
    <t>起始手牌額外抽3張。</t>
  </si>
  <si>
    <t>增益階段開始時：回復2。</t>
  </si>
  <si>
    <t>抽牌階段時額外抽怒氣區1張卡。</t>
  </si>
  <si>
    <t>先人</t>
  </si>
  <si>
    <t>替身</t>
  </si>
  <si>
    <t>[經]：當對手在回合中打出第4張招式時，你可以捨棄此卡與1張手牌，若如此作則將該招式捨棄。
(對手效會先處理。)</t>
  </si>
  <si>
    <t>黑桃5</t>
  </si>
  <si>
    <t>先攻的回合中，我方攻擊+X。X=我方出招張數-1。</t>
  </si>
  <si>
    <t>先攻的回合中，我方追擊+1。</t>
  </si>
  <si>
    <t>必殺一擊</t>
  </si>
  <si>
    <t>每次將要受到1傷害時，捨棄我方1張覆蓋的經驗代替。</t>
  </si>
  <si>
    <t>後人</t>
  </si>
  <si>
    <t>[覺_發_怒10]：此回合追擊+1。</t>
  </si>
  <si>
    <t>黑桃6</t>
  </si>
  <si>
    <t>黑暗詛咒</t>
  </si>
  <si>
    <t>後攻的回合中，我方總防禦值+2。</t>
  </si>
  <si>
    <t>詛咒</t>
  </si>
  <si>
    <t>後攻的回合中，我方總防禦值會計算追擊卡的防禦值。</t>
  </si>
  <si>
    <t>[頂]：對手招式獲得以下效果『[發]：覆蓋我方1張經驗』。</t>
  </si>
  <si>
    <t>降級詛咒</t>
  </si>
  <si>
    <t>黑桃7</t>
  </si>
  <si>
    <t>[發_蓋2_怒5]：雙方捨棄1張經驗。</t>
  </si>
  <si>
    <t>煉金印記</t>
  </si>
  <si>
    <t>印記</t>
  </si>
  <si>
    <t>黑桃8</t>
  </si>
  <si>
    <t>[起]：此回合你每打出1張招式時，回復1。</t>
  </si>
  <si>
    <t>狙擊印記</t>
  </si>
  <si>
    <t>[起]：此回合你每打出1張持有[發]的招式時，抽1張怒氣卡，之後捨棄1張手牌。</t>
  </si>
  <si>
    <t>黑桃9</t>
  </si>
  <si>
    <t>誘餌圖騰</t>
  </si>
  <si>
    <t>圖騰</t>
  </si>
  <si>
    <t>追擊階段開始時[經]：可以捨棄此卡並覆蓋3經驗，若如此作則對手此回合追擊-1，</t>
  </si>
  <si>
    <t>先祖圖騰</t>
  </si>
  <si>
    <t>紅心1</t>
  </si>
  <si>
    <t>[頂]：此卡防禦+2。
[經]：若你為先手，此卡可以作為出招打出。</t>
  </si>
  <si>
    <t>陷阱3</t>
  </si>
  <si>
    <t>陷阱</t>
  </si>
  <si>
    <t>紅心2</t>
  </si>
  <si>
    <t>[經_蓋1]：當對手出招的連擊值為3時，將此卡放於戰鬥區底。</t>
  </si>
  <si>
    <t>陷阱4</t>
  </si>
  <si>
    <t>[經_蓋1]：當對手出招的連擊值為4時，將此卡放於戰鬥區底。</t>
  </si>
  <si>
    <t>紅心3</t>
  </si>
  <si>
    <t>陷阱5</t>
  </si>
  <si>
    <t>[經_蓋1]：當對手出招的連擊值為5時，將此卡放於戰鬥區底。</t>
  </si>
  <si>
    <t>陷阱6</t>
  </si>
  <si>
    <t>紅心4</t>
  </si>
  <si>
    <t>[經_蓋1]：當對手出招的連擊值為6時，將此卡放於戰鬥區底。</t>
  </si>
  <si>
    <t>陷阱7</t>
  </si>
  <si>
    <t>紅心5</t>
  </si>
  <si>
    <t>[經_蓋1]：當對手出招的連擊值為7時，將此卡放於戰鬥區底。</t>
  </si>
  <si>
    <t>陷阱投擲</t>
  </si>
  <si>
    <t>紅心6</t>
  </si>
  <si>
    <t>[發]：將手中1張特徵持有"陷阱"的卡放置於經驗區。</t>
  </si>
  <si>
    <t>陷阱回收</t>
  </si>
  <si>
    <t>[發_怒4]：將我方棄牌區1張特徵持有"陷阱"的卡加入手中。</t>
  </si>
  <si>
    <t>紅心7</t>
  </si>
  <si>
    <t>驚嚇陷阱</t>
  </si>
  <si>
    <t>[追]：經驗區1張卡加入手中，這之後將手中1張特徵持有"陷阱"的卡放置於經驗區。</t>
  </si>
  <si>
    <t>紅心8</t>
  </si>
  <si>
    <t>陷阱變換</t>
  </si>
  <si>
    <t>[頂]：追擊時翻開的卡若特徵持有"陷阱"則將該卡放置於經驗區，然後選擇經驗區1張特徵持有"陷阱"的卡作為追擊卡打出。</t>
  </si>
  <si>
    <t>陷阱窟</t>
  </si>
  <si>
    <t>紅心9</t>
  </si>
  <si>
    <t>[起_怒10]：將經驗區特徵持有"陷阱"且攻擊力在2以下的卡全部置於戰鬥區底下。</t>
  </si>
  <si>
    <t>不變應萬變</t>
  </si>
  <si>
    <t>梅花1</t>
  </si>
  <si>
    <t>[頂]：傷害計算步驟中對手受到的傷害＞我方受到的傷害時，此回合結束時不會交換先攻與後攻。</t>
  </si>
  <si>
    <t>梅花2</t>
  </si>
  <si>
    <t>梅花3</t>
  </si>
  <si>
    <t>梅花4</t>
  </si>
  <si>
    <t>梅花5</t>
  </si>
  <si>
    <t>梅花6</t>
  </si>
  <si>
    <t>梅花7</t>
  </si>
  <si>
    <t>梅花8</t>
  </si>
  <si>
    <t>梅花9</t>
  </si>
  <si>
    <t>方塊1</t>
  </si>
  <si>
    <t>方塊2</t>
  </si>
  <si>
    <t>內文</t>
  </si>
  <si>
    <t>方塊3</t>
  </si>
  <si>
    <t>內文說明</t>
  </si>
  <si>
    <t>範例</t>
  </si>
  <si>
    <t>[蓋X]：效果。</t>
  </si>
  <si>
    <t>蓋X張經驗卡片發動以下效果：效果內文。
無法選擇僅能由最前面開始蓋。</t>
  </si>
  <si>
    <t>方塊4</t>
  </si>
  <si>
    <t>爆發階段開始時[蓋2]：此回合我方爆發改為：抽3。</t>
  </si>
  <si>
    <t>[怒X]：效果。</t>
  </si>
  <si>
    <t>捨棄我方怒氣區上方X張卡片發動以下效果：效果內文。</t>
  </si>
  <si>
    <t>[發_怒5]：回復5。</t>
  </si>
  <si>
    <t>追擊+X</t>
  </si>
  <si>
    <t>追擊階段翻開X張做為追擊判定。</t>
  </si>
  <si>
    <t>先攻的回合中，追擊+1。</t>
  </si>
  <si>
    <t>方塊5</t>
  </si>
  <si>
    <t>回復X</t>
  </si>
  <si>
    <t>將怒氣區上方X張卡放回牌組頂。</t>
  </si>
  <si>
    <t>[發]：回復2。</t>
  </si>
  <si>
    <t>追擊判定</t>
  </si>
  <si>
    <t>追擊階段翻的卡，會判定成功或失敗。</t>
  </si>
  <si>
    <t>當我方判定成功時...（X）
當我方追擊成功時...（X）
當我方追擊判定成功時...（O）</t>
  </si>
  <si>
    <t>方塊6</t>
  </si>
  <si>
    <t>範圍內 / 不在範圍內</t>
  </si>
  <si>
    <t>指能在反擊步驟打出的招式限制。</t>
  </si>
  <si>
    <t>展示牌頂1張卡，若在範圍外...（X）
展示牌頂1張卡，若不在範圍內...（O）
展示牌頂1張卡，若在範圍內...（O）</t>
  </si>
  <si>
    <t>1.2.3.4.5</t>
  </si>
  <si>
    <t>寫在卡上的數字皆以阿拉伯數字表示。</t>
  </si>
  <si>
    <t>一張卡（X）
1張卡（O）</t>
  </si>
  <si>
    <t>抽X</t>
  </si>
  <si>
    <t>我方抽X張牌。</t>
  </si>
  <si>
    <t>方塊7</t>
  </si>
  <si>
    <t>抽3張卡（X）
抽3（O）</t>
  </si>
  <si>
    <t>我方 / 對方 / 雙方</t>
  </si>
  <si>
    <t>效果中表示的目標對象。</t>
  </si>
  <si>
    <t>你的裝備（X）
我方裝備（O）
敵方裝備（X）
對方裝備（O）</t>
  </si>
  <si>
    <t>[起]：效果。</t>
  </si>
  <si>
    <t>作為起手階段的出招時持有：效果。</t>
  </si>
  <si>
    <t>方塊8</t>
  </si>
  <si>
    <t>[追]：效果。</t>
  </si>
  <si>
    <t>作為追擊卡時持有：效果。</t>
  </si>
  <si>
    <t>[發]：效果。</t>
  </si>
  <si>
    <t>打出時發動：效果。</t>
  </si>
  <si>
    <t>[頂]：效果。</t>
  </si>
  <si>
    <t>作為疊最上方的招式時持有：效果。</t>
  </si>
  <si>
    <t>方塊9</t>
  </si>
  <si>
    <t>[經]：效果。</t>
  </si>
  <si>
    <t>以正面向上存在經驗區時持有：效果。</t>
  </si>
  <si>
    <t>[覺]</t>
  </si>
  <si>
    <t>當你的角色處於覺醒狀態則獲得效果。</t>
  </si>
  <si>
    <t>OO階段開始時：效果。</t>
  </si>
  <si>
    <t>在OO階段開始時發動：效果。</t>
  </si>
  <si>
    <t>OO階段結束時：效果。</t>
  </si>
  <si>
    <t>在OO階段結束時發動：效果。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</si>
</sst>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2" fontId="1" numFmtId="49" xfId="0" applyAlignment="1" applyFill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Fill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Fill="1" applyFont="1"/>
    <xf borderId="0" fillId="0" fontId="1" numFmtId="49" xfId="0" applyAlignment="1" applyFont="1" applyNumberFormat="1">
      <alignment shrinkToFit="0" vertical="center" wrapText="0"/>
    </xf>
    <xf borderId="0" fillId="4" fontId="1" numFmtId="0" xfId="0" applyAlignment="1" applyFill="1" applyFont="1">
      <alignment readingOrder="0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Fill="1" applyFont="1"/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裝備／增益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招式_效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招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招式_效果-style 2">
      <tableStyleElement dxfId="2" type="firstRowStripe"/>
      <tableStyleElement dxfId="3" type="secondRowStripe"/>
    </tableStyle>
    <tableStyle count="2" pivot="0" name="招式-style 2">
      <tableStyleElement dxfId="2" type="firstRowStripe"/>
      <tableStyleElement dxfId="3" type="secondRowStripe"/>
    </tableStyle>
    <tableStyle count="2" pivot="0" name="招式_效果-style 3">
      <tableStyleElement dxfId="2" type="firstRowStripe"/>
      <tableStyleElement dxfId="3" type="secondRowStripe"/>
    </tableStyle>
    <tableStyle count="2" pivot="0" name="招式-style 3">
      <tableStyleElement dxfId="2" type="firstRowStripe"/>
      <tableStyleElement dxfId="3" type="secondRowStripe"/>
    </tableStyle>
    <tableStyle count="4" pivot="0" name="角色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卡片效果解釋、範本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5" displayName="表_1" name="表_1" id="2">
  <tableColumns count="7">
    <tableColumn name="No." id="1"/>
    <tableColumn name="職業" id="2"/>
    <tableColumn name="卡名" id="3"/>
    <tableColumn name="攻擊" id="4"/>
    <tableColumn name="防禦" id="5"/>
    <tableColumn name="連擊值" id="6"/>
    <tableColumn name="效果" id="7"/>
  </tableColumns>
  <tableStyleInfo name="招式-style" showColumnStripes="0" showFirstColumn="1" showLastColumn="1" showRowStripes="1"/>
</table>
</file>

<file path=xl/tables/table2.xml><?xml version="1.0" encoding="utf-8"?>
<table xmlns="http://schemas.openxmlformats.org/spreadsheetml/2006/main" headerRowCount="0" ref="J2:K37" displayName="Table_2" name="Table_2" id="5">
  <tableColumns count="2">
    <tableColumn name="Column1" id="1"/>
    <tableColumn name="Column2" id="2"/>
  </tableColumns>
  <tableStyleInfo name="招式-style 2" showColumnStripes="0" showFirstColumn="1" showLastColumn="1" showRowStripes="1"/>
</table>
</file>

<file path=xl/tables/table3.xml><?xml version="1.0" encoding="utf-8"?>
<table xmlns="http://schemas.openxmlformats.org/spreadsheetml/2006/main" headerRowCount="0" ref="M2:N37" displayName="Table_4" name="Table_4" id="7">
  <tableColumns count="2">
    <tableColumn name="Column1" id="1"/>
    <tableColumn name="Column2" id="2"/>
  </tableColumns>
  <tableStyleInfo name="招式-style 3" showColumnStripes="0" showFirstColumn="1" showLastColumn="1" showRowStripes="1"/>
</table>
</file>

<file path=xl/tables/table4.xml><?xml version="1.0" encoding="utf-8"?>
<table xmlns="http://schemas.openxmlformats.org/spreadsheetml/2006/main" ref="A1:H45" displayName="表_4" name="表_4" id="3">
  <tableColumns count="8">
    <tableColumn name="No." id="1"/>
    <tableColumn name="職業" id="2"/>
    <tableColumn name="卡名" id="3"/>
    <tableColumn name="特徵" id="4"/>
    <tableColumn name="攻擊" id="5"/>
    <tableColumn name="防禦" id="6"/>
    <tableColumn name="連擊值" id="7"/>
    <tableColumn name="效果" id="8"/>
  </tableColumns>
  <tableStyleInfo name="招式_效果-style" showColumnStripes="0" showFirstColumn="1" showLastColumn="1" showRowStripes="1"/>
</table>
</file>

<file path=xl/tables/table5.xml><?xml version="1.0" encoding="utf-8"?>
<table xmlns="http://schemas.openxmlformats.org/spreadsheetml/2006/main" headerRowCount="0" ref="K2:L37" displayName="Table_1" name="Table_1" id="4">
  <tableColumns count="2">
    <tableColumn name="Column1" id="1"/>
    <tableColumn name="Column2" id="2"/>
  </tableColumns>
  <tableStyleInfo name="招式_效果-style 2" showColumnStripes="0" showFirstColumn="1" showLastColumn="1" showRowStripes="1"/>
</table>
</file>

<file path=xl/tables/table6.xml><?xml version="1.0" encoding="utf-8"?>
<table xmlns="http://schemas.openxmlformats.org/spreadsheetml/2006/main" headerRowCount="0" ref="N2:O37" displayName="Table_3" name="Table_3" id="6">
  <tableColumns count="2">
    <tableColumn name="Column1" id="1"/>
    <tableColumn name="Column2" id="2"/>
  </tableColumns>
  <tableStyleInfo name="招式_效果-style 3" showColumnStripes="0" showFirstColumn="1" showLastColumn="1" showRowStripes="1"/>
</table>
</file>

<file path=xl/tables/table7.xml><?xml version="1.0" encoding="utf-8"?>
<table xmlns="http://schemas.openxmlformats.org/spreadsheetml/2006/main" ref="A1:G37" displayName="表" name="表" id="1">
  <tableColumns count="7">
    <tableColumn name="No." id="1"/>
    <tableColumn name="職業" id="2"/>
    <tableColumn name="卡名" id="3"/>
    <tableColumn name="經驗需求" id="4"/>
    <tableColumn name="裝備部位/增益" id="5"/>
    <tableColumn name="持續時間" id="6"/>
    <tableColumn name="效果" id="7"/>
  </tableColumns>
  <tableStyleInfo name="裝備／增益-style" showColumnStripes="0" showFirstColumn="1" showLastColumn="1" showRowStripes="1"/>
</table>
</file>

<file path=xl/tables/table8.xml><?xml version="1.0" encoding="utf-8"?>
<table xmlns="http://schemas.openxmlformats.org/spreadsheetml/2006/main" ref="A1:G37" displayName="表_2" name="表_2" id="8">
  <tableColumns count="7">
    <tableColumn name="No." id="1"/>
    <tableColumn name="職業" id="2"/>
    <tableColumn name="角色名" id="3"/>
    <tableColumn name="生命值" id="4"/>
    <tableColumn name="經驗需求" id="5"/>
    <tableColumn name="效果" id="6"/>
    <tableColumn name="覺醒效果" id="7"/>
  </tableColumns>
  <tableStyleInfo name="角色-style" showColumnStripes="0" showFirstColumn="1" showLastColumn="1" showRowStripes="1"/>
</table>
</file>

<file path=xl/tables/table9.xml><?xml version="1.0" encoding="utf-8"?>
<table xmlns="http://schemas.openxmlformats.org/spreadsheetml/2006/main" ref="A1:C18" displayName="表_3" name="表_3" id="9">
  <tableColumns count="3">
    <tableColumn name="內文" id="1"/>
    <tableColumn name="內文說明" id="2"/>
    <tableColumn name="範例" id="3"/>
  </tableColumns>
  <tableStyleInfo name="卡片效果解釋、範本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57.13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6</v>
      </c>
      <c r="E1" s="3" t="s">
        <v>9</v>
      </c>
      <c r="F1" s="1" t="s">
        <v>10</v>
      </c>
      <c r="G1" s="1" t="s">
        <v>8</v>
      </c>
    </row>
    <row r="2" ht="22.5" customHeight="1">
      <c r="A2" s="4"/>
      <c r="B2" s="4" t="s">
        <v>11</v>
      </c>
      <c r="C2" s="4" t="s">
        <v>16</v>
      </c>
      <c r="D2" s="7">
        <v>6.0</v>
      </c>
      <c r="E2" s="7">
        <v>4.0</v>
      </c>
      <c r="F2" s="4">
        <v>1.0</v>
      </c>
      <c r="J2" s="8">
        <f t="shared" ref="J2:K2" si="1">J6+2</f>
        <v>8</v>
      </c>
      <c r="K2" s="8">
        <f t="shared" si="1"/>
        <v>2</v>
      </c>
      <c r="M2" s="8">
        <f t="shared" ref="M2:M37" si="2">2+ROUND(RAND()*7,0)</f>
        <v>3</v>
      </c>
      <c r="N2" s="8">
        <f t="shared" ref="N2:N37" si="3">10-M2</f>
        <v>7</v>
      </c>
    </row>
    <row r="3" ht="22.5" customHeight="1">
      <c r="A3" s="4"/>
      <c r="B3" s="4" t="s">
        <v>11</v>
      </c>
      <c r="C3" s="4" t="s">
        <v>36</v>
      </c>
      <c r="D3" s="7">
        <v>5.0</v>
      </c>
      <c r="E3" s="7">
        <v>5.0</v>
      </c>
      <c r="F3" s="4">
        <v>2.0</v>
      </c>
      <c r="J3" s="8">
        <f>J6+1</f>
        <v>7</v>
      </c>
      <c r="K3" s="8">
        <f>K6+2</f>
        <v>2</v>
      </c>
      <c r="M3" s="8">
        <f t="shared" si="2"/>
        <v>7</v>
      </c>
      <c r="N3" s="8">
        <f t="shared" si="3"/>
        <v>3</v>
      </c>
    </row>
    <row r="4" ht="22.5" customHeight="1">
      <c r="A4" s="4"/>
      <c r="B4" s="4" t="s">
        <v>11</v>
      </c>
      <c r="C4" s="4" t="s">
        <v>48</v>
      </c>
      <c r="D4" s="7">
        <v>4.0</v>
      </c>
      <c r="E4" s="7">
        <v>6.0</v>
      </c>
      <c r="F4" s="4">
        <v>3.0</v>
      </c>
      <c r="J4" s="8">
        <f t="shared" ref="J4:K4" si="4">J6+1</f>
        <v>7</v>
      </c>
      <c r="K4" s="8">
        <f t="shared" si="4"/>
        <v>1</v>
      </c>
      <c r="M4" s="8">
        <f t="shared" si="2"/>
        <v>5</v>
      </c>
      <c r="N4" s="8">
        <f t="shared" si="3"/>
        <v>5</v>
      </c>
    </row>
    <row r="5" ht="22.5" customHeight="1">
      <c r="A5" s="4"/>
      <c r="B5" s="4" t="s">
        <v>11</v>
      </c>
      <c r="C5" s="4" t="s">
        <v>58</v>
      </c>
      <c r="D5" s="7">
        <v>6.0</v>
      </c>
      <c r="E5" s="7">
        <v>4.0</v>
      </c>
      <c r="F5" s="4">
        <v>4.0</v>
      </c>
      <c r="J5" s="8">
        <f>J6</f>
        <v>6</v>
      </c>
      <c r="K5" s="8">
        <f>K6+1</f>
        <v>1</v>
      </c>
      <c r="M5" s="8">
        <f t="shared" si="2"/>
        <v>2</v>
      </c>
      <c r="N5" s="8">
        <f t="shared" si="3"/>
        <v>8</v>
      </c>
    </row>
    <row r="6" ht="22.5" customHeight="1">
      <c r="A6" s="4"/>
      <c r="B6" s="4" t="s">
        <v>11</v>
      </c>
      <c r="C6" s="4" t="s">
        <v>68</v>
      </c>
      <c r="D6" s="7">
        <v>6.0</v>
      </c>
      <c r="E6" s="7">
        <v>4.0</v>
      </c>
      <c r="F6" s="4">
        <v>5.0</v>
      </c>
      <c r="J6" s="13">
        <v>6.0</v>
      </c>
      <c r="K6" s="13">
        <v>0.0</v>
      </c>
      <c r="M6" s="8">
        <f t="shared" si="2"/>
        <v>5</v>
      </c>
      <c r="N6" s="8">
        <f t="shared" si="3"/>
        <v>5</v>
      </c>
    </row>
    <row r="7" ht="22.5" customHeight="1">
      <c r="A7" s="4"/>
      <c r="B7" s="4" t="s">
        <v>11</v>
      </c>
      <c r="C7" s="4" t="s">
        <v>75</v>
      </c>
      <c r="D7" s="7">
        <v>3.0</v>
      </c>
      <c r="E7" s="7">
        <v>7.0</v>
      </c>
      <c r="F7" s="4">
        <v>6.0</v>
      </c>
      <c r="J7" s="8">
        <f>J6</f>
        <v>6</v>
      </c>
      <c r="K7" s="8">
        <f>K6+1</f>
        <v>1</v>
      </c>
      <c r="M7" s="8">
        <f t="shared" si="2"/>
        <v>9</v>
      </c>
      <c r="N7" s="8">
        <f t="shared" si="3"/>
        <v>1</v>
      </c>
    </row>
    <row r="8" ht="22.5" customHeight="1">
      <c r="A8" s="4"/>
      <c r="B8" s="4" t="s">
        <v>11</v>
      </c>
      <c r="C8" s="4" t="s">
        <v>82</v>
      </c>
      <c r="D8" s="7">
        <v>7.0</v>
      </c>
      <c r="E8" s="7">
        <v>3.0</v>
      </c>
      <c r="F8" s="4">
        <v>7.0</v>
      </c>
      <c r="G8" s="9"/>
      <c r="J8" s="10">
        <f t="shared" ref="J8:K8" si="5">J6+1</f>
        <v>7</v>
      </c>
      <c r="K8" s="10">
        <f t="shared" si="5"/>
        <v>1</v>
      </c>
      <c r="M8" s="8">
        <f t="shared" si="2"/>
        <v>8</v>
      </c>
      <c r="N8" s="8">
        <f t="shared" si="3"/>
        <v>2</v>
      </c>
    </row>
    <row r="9" ht="22.5" customHeight="1">
      <c r="A9" s="4"/>
      <c r="B9" s="4" t="s">
        <v>11</v>
      </c>
      <c r="C9" s="4" t="s">
        <v>86</v>
      </c>
      <c r="D9" s="7">
        <v>5.0</v>
      </c>
      <c r="E9" s="7">
        <v>5.0</v>
      </c>
      <c r="F9" s="4">
        <v>8.0</v>
      </c>
      <c r="G9" s="9"/>
      <c r="J9" s="10">
        <f>J6+1</f>
        <v>7</v>
      </c>
      <c r="K9" s="10">
        <f>K6+2</f>
        <v>2</v>
      </c>
      <c r="M9" s="8">
        <f t="shared" si="2"/>
        <v>2</v>
      </c>
      <c r="N9" s="8">
        <f t="shared" si="3"/>
        <v>8</v>
      </c>
    </row>
    <row r="10" ht="22.5" customHeight="1">
      <c r="A10" s="4"/>
      <c r="B10" s="4" t="s">
        <v>11</v>
      </c>
      <c r="C10" s="4" t="s">
        <v>90</v>
      </c>
      <c r="D10" s="7">
        <v>5.0</v>
      </c>
      <c r="E10" s="7">
        <v>5.0</v>
      </c>
      <c r="F10" s="4">
        <v>9.0</v>
      </c>
      <c r="G10" s="9"/>
      <c r="J10" s="10">
        <f t="shared" ref="J10:K10" si="6">J6+2</f>
        <v>8</v>
      </c>
      <c r="K10" s="10">
        <f t="shared" si="6"/>
        <v>2</v>
      </c>
      <c r="M10" s="8">
        <f t="shared" si="2"/>
        <v>4</v>
      </c>
      <c r="N10" s="8">
        <f t="shared" si="3"/>
        <v>6</v>
      </c>
    </row>
    <row r="11" ht="22.5" customHeight="1">
      <c r="A11" s="14"/>
      <c r="B11" s="15" t="s">
        <v>11</v>
      </c>
      <c r="C11" s="15" t="s">
        <v>95</v>
      </c>
      <c r="D11" s="7">
        <v>5.0</v>
      </c>
      <c r="E11" s="7">
        <v>5.0</v>
      </c>
      <c r="F11" s="15">
        <v>1.0</v>
      </c>
      <c r="G11" s="14"/>
      <c r="J11" s="16">
        <f t="shared" ref="J11:K11" si="7">J15+2</f>
        <v>5</v>
      </c>
      <c r="K11" s="16">
        <f t="shared" si="7"/>
        <v>5</v>
      </c>
      <c r="M11" s="8">
        <f t="shared" si="2"/>
        <v>4</v>
      </c>
      <c r="N11" s="8">
        <f t="shared" si="3"/>
        <v>6</v>
      </c>
    </row>
    <row r="12" ht="22.5" customHeight="1">
      <c r="A12" s="14"/>
      <c r="B12" s="15" t="s">
        <v>11</v>
      </c>
      <c r="C12" s="15" t="s">
        <v>99</v>
      </c>
      <c r="D12" s="7">
        <v>6.0</v>
      </c>
      <c r="E12" s="7">
        <v>4.0</v>
      </c>
      <c r="F12" s="15">
        <v>2.0</v>
      </c>
      <c r="G12" s="14"/>
      <c r="J12" s="16">
        <f>J15+1</f>
        <v>4</v>
      </c>
      <c r="K12" s="16">
        <f>K15+2</f>
        <v>5</v>
      </c>
      <c r="M12" s="8">
        <f t="shared" si="2"/>
        <v>7</v>
      </c>
      <c r="N12" s="8">
        <f t="shared" si="3"/>
        <v>3</v>
      </c>
    </row>
    <row r="13" ht="22.5" customHeight="1">
      <c r="A13" s="14"/>
      <c r="B13" s="15" t="s">
        <v>11</v>
      </c>
      <c r="C13" s="15" t="s">
        <v>103</v>
      </c>
      <c r="D13" s="7">
        <v>4.0</v>
      </c>
      <c r="E13" s="7">
        <v>6.0</v>
      </c>
      <c r="F13" s="15">
        <v>3.0</v>
      </c>
      <c r="G13" s="14"/>
      <c r="J13" s="16">
        <f t="shared" ref="J13:K13" si="8">J15+1</f>
        <v>4</v>
      </c>
      <c r="K13" s="16">
        <f t="shared" si="8"/>
        <v>4</v>
      </c>
      <c r="M13" s="8">
        <f t="shared" si="2"/>
        <v>7</v>
      </c>
      <c r="N13" s="8">
        <f t="shared" si="3"/>
        <v>3</v>
      </c>
    </row>
    <row r="14" ht="22.5" customHeight="1">
      <c r="A14" s="14"/>
      <c r="B14" s="15" t="s">
        <v>11</v>
      </c>
      <c r="C14" s="15" t="s">
        <v>107</v>
      </c>
      <c r="D14" s="7">
        <v>5.0</v>
      </c>
      <c r="E14" s="7">
        <v>5.0</v>
      </c>
      <c r="F14" s="15">
        <v>4.0</v>
      </c>
      <c r="G14" s="14"/>
      <c r="J14" s="16">
        <f>J15</f>
        <v>3</v>
      </c>
      <c r="K14" s="16">
        <f>K15+1</f>
        <v>4</v>
      </c>
      <c r="M14" s="8">
        <f t="shared" si="2"/>
        <v>7</v>
      </c>
      <c r="N14" s="8">
        <f t="shared" si="3"/>
        <v>3</v>
      </c>
    </row>
    <row r="15" ht="22.5" customHeight="1">
      <c r="A15" s="14"/>
      <c r="B15" s="15" t="s">
        <v>11</v>
      </c>
      <c r="C15" s="15" t="s">
        <v>110</v>
      </c>
      <c r="D15" s="7">
        <v>7.0</v>
      </c>
      <c r="E15" s="7">
        <v>3.0</v>
      </c>
      <c r="F15" s="15">
        <v>5.0</v>
      </c>
      <c r="G15" s="14"/>
      <c r="J15" s="17">
        <v>3.0</v>
      </c>
      <c r="K15" s="17">
        <v>3.0</v>
      </c>
      <c r="M15" s="8">
        <f t="shared" si="2"/>
        <v>7</v>
      </c>
      <c r="N15" s="8">
        <f t="shared" si="3"/>
        <v>3</v>
      </c>
    </row>
    <row r="16" ht="22.5" customHeight="1">
      <c r="A16" s="14"/>
      <c r="B16" s="15" t="s">
        <v>11</v>
      </c>
      <c r="C16" s="15" t="s">
        <v>113</v>
      </c>
      <c r="D16" s="7">
        <v>4.0</v>
      </c>
      <c r="E16" s="7">
        <v>6.0</v>
      </c>
      <c r="F16" s="15">
        <v>6.0</v>
      </c>
      <c r="G16" s="14"/>
      <c r="J16" s="16">
        <f>J15</f>
        <v>3</v>
      </c>
      <c r="K16" s="16">
        <f>K15+1</f>
        <v>4</v>
      </c>
      <c r="M16" s="8">
        <f t="shared" si="2"/>
        <v>7</v>
      </c>
      <c r="N16" s="8">
        <f t="shared" si="3"/>
        <v>3</v>
      </c>
    </row>
    <row r="17" ht="22.5" customHeight="1">
      <c r="A17" s="14"/>
      <c r="B17" s="15" t="s">
        <v>11</v>
      </c>
      <c r="C17" s="15" t="s">
        <v>117</v>
      </c>
      <c r="D17" s="7">
        <v>8.0</v>
      </c>
      <c r="E17" s="7">
        <v>2.0</v>
      </c>
      <c r="F17" s="15">
        <v>7.0</v>
      </c>
      <c r="G17" s="14"/>
      <c r="J17" s="17">
        <f t="shared" ref="J17:K17" si="9">J15+1</f>
        <v>4</v>
      </c>
      <c r="K17" s="17">
        <f t="shared" si="9"/>
        <v>4</v>
      </c>
      <c r="M17" s="8">
        <f t="shared" si="2"/>
        <v>5</v>
      </c>
      <c r="N17" s="8">
        <f t="shared" si="3"/>
        <v>5</v>
      </c>
    </row>
    <row r="18" ht="22.5" customHeight="1">
      <c r="A18" s="14"/>
      <c r="B18" s="15" t="s">
        <v>11</v>
      </c>
      <c r="C18" s="15" t="s">
        <v>120</v>
      </c>
      <c r="D18" s="7">
        <v>4.0</v>
      </c>
      <c r="E18" s="7">
        <v>6.0</v>
      </c>
      <c r="F18" s="15">
        <v>8.0</v>
      </c>
      <c r="G18" s="14"/>
      <c r="J18" s="17">
        <f>J15+1</f>
        <v>4</v>
      </c>
      <c r="K18" s="17">
        <f>K15+2</f>
        <v>5</v>
      </c>
      <c r="M18" s="8">
        <f t="shared" si="2"/>
        <v>4</v>
      </c>
      <c r="N18" s="8">
        <f t="shared" si="3"/>
        <v>6</v>
      </c>
    </row>
    <row r="19" ht="22.5" customHeight="1">
      <c r="A19" s="14"/>
      <c r="B19" s="15" t="s">
        <v>11</v>
      </c>
      <c r="C19" s="15" t="s">
        <v>124</v>
      </c>
      <c r="D19" s="7">
        <v>2.0</v>
      </c>
      <c r="E19" s="7">
        <v>8.0</v>
      </c>
      <c r="F19" s="15">
        <v>9.0</v>
      </c>
      <c r="G19" s="14"/>
      <c r="J19" s="17">
        <f t="shared" ref="J19:K19" si="10">J15+2</f>
        <v>5</v>
      </c>
      <c r="K19" s="17">
        <f t="shared" si="10"/>
        <v>5</v>
      </c>
      <c r="M19" s="8">
        <f t="shared" si="2"/>
        <v>6</v>
      </c>
      <c r="N19" s="8">
        <f t="shared" si="3"/>
        <v>4</v>
      </c>
    </row>
    <row r="20" ht="22.5" customHeight="1">
      <c r="A20" s="18"/>
      <c r="B20" s="19" t="s">
        <v>11</v>
      </c>
      <c r="C20" s="19" t="s">
        <v>127</v>
      </c>
      <c r="D20" s="7">
        <v>6.0</v>
      </c>
      <c r="E20" s="7">
        <v>4.0</v>
      </c>
      <c r="F20" s="19">
        <v>1.0</v>
      </c>
      <c r="G20" s="18"/>
      <c r="J20" s="20">
        <f t="shared" ref="J20:K20" si="11">J24+2</f>
        <v>7</v>
      </c>
      <c r="K20" s="20">
        <f t="shared" si="11"/>
        <v>3</v>
      </c>
      <c r="M20" s="8">
        <f t="shared" si="2"/>
        <v>7</v>
      </c>
      <c r="N20" s="8">
        <f t="shared" si="3"/>
        <v>3</v>
      </c>
    </row>
    <row r="21" ht="22.5" customHeight="1">
      <c r="A21" s="18"/>
      <c r="B21" s="19" t="s">
        <v>11</v>
      </c>
      <c r="C21" s="19" t="s">
        <v>129</v>
      </c>
      <c r="D21" s="7">
        <v>5.0</v>
      </c>
      <c r="E21" s="7">
        <v>5.0</v>
      </c>
      <c r="F21" s="19">
        <v>2.0</v>
      </c>
      <c r="G21" s="18"/>
      <c r="J21" s="20">
        <f>J24+1</f>
        <v>6</v>
      </c>
      <c r="K21" s="20">
        <f>K24+2</f>
        <v>3</v>
      </c>
      <c r="M21" s="8">
        <f t="shared" si="2"/>
        <v>5</v>
      </c>
      <c r="N21" s="8">
        <f t="shared" si="3"/>
        <v>5</v>
      </c>
    </row>
    <row r="22" ht="22.5" customHeight="1">
      <c r="A22" s="18"/>
      <c r="B22" s="19" t="s">
        <v>11</v>
      </c>
      <c r="C22" s="19" t="s">
        <v>130</v>
      </c>
      <c r="D22" s="7">
        <v>9.0</v>
      </c>
      <c r="E22" s="7">
        <v>1.0</v>
      </c>
      <c r="F22" s="19">
        <v>3.0</v>
      </c>
      <c r="G22" s="18"/>
      <c r="J22" s="20">
        <f t="shared" ref="J22:K22" si="12">J24+1</f>
        <v>6</v>
      </c>
      <c r="K22" s="20">
        <f t="shared" si="12"/>
        <v>2</v>
      </c>
      <c r="M22" s="8">
        <f t="shared" si="2"/>
        <v>8</v>
      </c>
      <c r="N22" s="8">
        <f t="shared" si="3"/>
        <v>2</v>
      </c>
    </row>
    <row r="23" ht="22.5" customHeight="1">
      <c r="A23" s="18"/>
      <c r="B23" s="19" t="s">
        <v>11</v>
      </c>
      <c r="C23" s="19" t="s">
        <v>131</v>
      </c>
      <c r="D23" s="7">
        <v>4.0</v>
      </c>
      <c r="E23" s="7">
        <v>6.0</v>
      </c>
      <c r="F23" s="19">
        <v>4.0</v>
      </c>
      <c r="G23" s="18"/>
      <c r="J23" s="20">
        <f>J24</f>
        <v>5</v>
      </c>
      <c r="K23" s="20">
        <f>K24+1</f>
        <v>2</v>
      </c>
      <c r="M23" s="8">
        <f t="shared" si="2"/>
        <v>5</v>
      </c>
      <c r="N23" s="8">
        <f t="shared" si="3"/>
        <v>5</v>
      </c>
    </row>
    <row r="24" ht="22.5" customHeight="1">
      <c r="A24" s="18"/>
      <c r="B24" s="19" t="s">
        <v>11</v>
      </c>
      <c r="C24" s="19" t="s">
        <v>132</v>
      </c>
      <c r="D24" s="7">
        <v>6.0</v>
      </c>
      <c r="E24" s="7">
        <v>4.0</v>
      </c>
      <c r="F24" s="19">
        <v>5.0</v>
      </c>
      <c r="G24" s="18"/>
      <c r="J24" s="22">
        <v>5.0</v>
      </c>
      <c r="K24" s="22">
        <v>1.0</v>
      </c>
      <c r="M24" s="8">
        <f t="shared" si="2"/>
        <v>8</v>
      </c>
      <c r="N24" s="8">
        <f t="shared" si="3"/>
        <v>2</v>
      </c>
    </row>
    <row r="25" ht="22.5" customHeight="1">
      <c r="A25" s="18"/>
      <c r="B25" s="19" t="s">
        <v>11</v>
      </c>
      <c r="C25" s="19" t="s">
        <v>133</v>
      </c>
      <c r="D25" s="7">
        <v>6.0</v>
      </c>
      <c r="E25" s="7">
        <v>4.0</v>
      </c>
      <c r="F25" s="19">
        <v>6.0</v>
      </c>
      <c r="G25" s="18"/>
      <c r="J25" s="20">
        <f>J24</f>
        <v>5</v>
      </c>
      <c r="K25" s="20">
        <f>K24+1</f>
        <v>2</v>
      </c>
      <c r="M25" s="8">
        <f t="shared" si="2"/>
        <v>9</v>
      </c>
      <c r="N25" s="8">
        <f t="shared" si="3"/>
        <v>1</v>
      </c>
    </row>
    <row r="26" ht="22.5" customHeight="1">
      <c r="A26" s="18"/>
      <c r="B26" s="19" t="s">
        <v>11</v>
      </c>
      <c r="C26" s="19" t="s">
        <v>134</v>
      </c>
      <c r="D26" s="7">
        <v>4.0</v>
      </c>
      <c r="E26" s="7">
        <v>6.0</v>
      </c>
      <c r="F26" s="19">
        <v>7.0</v>
      </c>
      <c r="G26" s="18"/>
      <c r="J26" s="22">
        <f t="shared" ref="J26:K26" si="13">J24+1</f>
        <v>6</v>
      </c>
      <c r="K26" s="22">
        <f t="shared" si="13"/>
        <v>2</v>
      </c>
      <c r="M26" s="8">
        <f t="shared" si="2"/>
        <v>6</v>
      </c>
      <c r="N26" s="8">
        <f t="shared" si="3"/>
        <v>4</v>
      </c>
    </row>
    <row r="27" ht="22.5" customHeight="1">
      <c r="A27" s="18"/>
      <c r="B27" s="19" t="s">
        <v>11</v>
      </c>
      <c r="C27" s="19" t="s">
        <v>135</v>
      </c>
      <c r="D27" s="7">
        <v>9.0</v>
      </c>
      <c r="E27" s="7">
        <v>1.0</v>
      </c>
      <c r="F27" s="19">
        <v>8.0</v>
      </c>
      <c r="G27" s="18"/>
      <c r="J27" s="22">
        <f>J24+1</f>
        <v>6</v>
      </c>
      <c r="K27" s="22">
        <f>K24+2</f>
        <v>3</v>
      </c>
      <c r="M27" s="8">
        <f t="shared" si="2"/>
        <v>3</v>
      </c>
      <c r="N27" s="8">
        <f t="shared" si="3"/>
        <v>7</v>
      </c>
    </row>
    <row r="28" ht="22.5" customHeight="1">
      <c r="A28" s="18"/>
      <c r="B28" s="19" t="s">
        <v>11</v>
      </c>
      <c r="C28" s="19" t="s">
        <v>136</v>
      </c>
      <c r="D28" s="7">
        <v>7.0</v>
      </c>
      <c r="E28" s="7">
        <v>3.0</v>
      </c>
      <c r="F28" s="19">
        <v>9.0</v>
      </c>
      <c r="G28" s="18"/>
      <c r="J28" s="22">
        <f t="shared" ref="J28:K28" si="14">J24+2</f>
        <v>7</v>
      </c>
      <c r="K28" s="22">
        <f t="shared" si="14"/>
        <v>3</v>
      </c>
      <c r="M28" s="8">
        <f t="shared" si="2"/>
        <v>9</v>
      </c>
      <c r="N28" s="8">
        <f t="shared" si="3"/>
        <v>1</v>
      </c>
    </row>
    <row r="29" ht="22.5" customHeight="1">
      <c r="A29" s="23"/>
      <c r="B29" s="24" t="s">
        <v>11</v>
      </c>
      <c r="C29" s="24" t="s">
        <v>137</v>
      </c>
      <c r="D29" s="7">
        <v>5.0</v>
      </c>
      <c r="E29" s="7">
        <v>5.0</v>
      </c>
      <c r="F29" s="24">
        <v>1.0</v>
      </c>
      <c r="G29" s="23"/>
      <c r="J29" s="25">
        <f t="shared" ref="J29:K29" si="15">J33+2</f>
        <v>6</v>
      </c>
      <c r="K29" s="25">
        <f t="shared" si="15"/>
        <v>4</v>
      </c>
      <c r="M29" s="8">
        <f t="shared" si="2"/>
        <v>8</v>
      </c>
      <c r="N29" s="8">
        <f t="shared" si="3"/>
        <v>2</v>
      </c>
    </row>
    <row r="30" ht="22.5" customHeight="1">
      <c r="A30" s="23"/>
      <c r="B30" s="24" t="s">
        <v>11</v>
      </c>
      <c r="C30" s="24" t="s">
        <v>138</v>
      </c>
      <c r="D30" s="7">
        <v>9.0</v>
      </c>
      <c r="E30" s="7">
        <v>1.0</v>
      </c>
      <c r="F30" s="24">
        <v>2.0</v>
      </c>
      <c r="G30" s="23"/>
      <c r="J30" s="25">
        <f>J33+1</f>
        <v>5</v>
      </c>
      <c r="K30" s="25">
        <f>K33+2</f>
        <v>4</v>
      </c>
      <c r="M30" s="8">
        <f t="shared" si="2"/>
        <v>5</v>
      </c>
      <c r="N30" s="8">
        <f t="shared" si="3"/>
        <v>5</v>
      </c>
    </row>
    <row r="31" ht="22.5" customHeight="1">
      <c r="A31" s="23"/>
      <c r="B31" s="24" t="s">
        <v>11</v>
      </c>
      <c r="C31" s="24" t="s">
        <v>140</v>
      </c>
      <c r="D31" s="7">
        <v>4.0</v>
      </c>
      <c r="E31" s="7">
        <v>6.0</v>
      </c>
      <c r="F31" s="24">
        <v>3.0</v>
      </c>
      <c r="G31" s="23"/>
      <c r="J31" s="25">
        <f t="shared" ref="J31:K31" si="16">J33+1</f>
        <v>5</v>
      </c>
      <c r="K31" s="25">
        <f t="shared" si="16"/>
        <v>3</v>
      </c>
      <c r="M31" s="8">
        <f t="shared" si="2"/>
        <v>2</v>
      </c>
      <c r="N31" s="8">
        <f t="shared" si="3"/>
        <v>8</v>
      </c>
    </row>
    <row r="32" ht="22.5" customHeight="1">
      <c r="A32" s="23"/>
      <c r="B32" s="24" t="s">
        <v>11</v>
      </c>
      <c r="C32" s="24" t="s">
        <v>145</v>
      </c>
      <c r="D32" s="7">
        <v>8.0</v>
      </c>
      <c r="E32" s="7">
        <v>2.0</v>
      </c>
      <c r="F32" s="24">
        <v>4.0</v>
      </c>
      <c r="G32" s="23"/>
      <c r="J32" s="25">
        <f>J33</f>
        <v>4</v>
      </c>
      <c r="K32" s="25">
        <f>K33+1</f>
        <v>3</v>
      </c>
      <c r="M32" s="8">
        <f t="shared" si="2"/>
        <v>6</v>
      </c>
      <c r="N32" s="8">
        <f t="shared" si="3"/>
        <v>4</v>
      </c>
    </row>
    <row r="33" ht="22.5" customHeight="1">
      <c r="A33" s="23"/>
      <c r="B33" s="24" t="s">
        <v>11</v>
      </c>
      <c r="C33" s="24" t="s">
        <v>153</v>
      </c>
      <c r="D33" s="7">
        <v>7.0</v>
      </c>
      <c r="E33" s="7">
        <v>3.0</v>
      </c>
      <c r="F33" s="24">
        <v>5.0</v>
      </c>
      <c r="G33" s="23"/>
      <c r="J33" s="27">
        <v>4.0</v>
      </c>
      <c r="K33" s="27">
        <v>2.0</v>
      </c>
      <c r="M33" s="8">
        <f t="shared" si="2"/>
        <v>8</v>
      </c>
      <c r="N33" s="8">
        <f t="shared" si="3"/>
        <v>2</v>
      </c>
    </row>
    <row r="34" ht="22.5" customHeight="1">
      <c r="A34" s="23"/>
      <c r="B34" s="24" t="s">
        <v>11</v>
      </c>
      <c r="C34" s="24" t="s">
        <v>160</v>
      </c>
      <c r="D34" s="7">
        <v>6.0</v>
      </c>
      <c r="E34" s="7">
        <v>4.0</v>
      </c>
      <c r="F34" s="24">
        <v>6.0</v>
      </c>
      <c r="G34" s="23"/>
      <c r="J34" s="25">
        <f>J33</f>
        <v>4</v>
      </c>
      <c r="K34" s="25">
        <f>K33+1</f>
        <v>3</v>
      </c>
      <c r="M34" s="8">
        <f t="shared" si="2"/>
        <v>4</v>
      </c>
      <c r="N34" s="8">
        <f t="shared" si="3"/>
        <v>6</v>
      </c>
    </row>
    <row r="35" ht="22.5" customHeight="1">
      <c r="A35" s="23"/>
      <c r="B35" s="24" t="s">
        <v>11</v>
      </c>
      <c r="C35" s="24" t="s">
        <v>169</v>
      </c>
      <c r="D35" s="7">
        <v>8.0</v>
      </c>
      <c r="E35" s="7">
        <v>2.0</v>
      </c>
      <c r="F35" s="24">
        <v>7.0</v>
      </c>
      <c r="G35" s="23"/>
      <c r="J35" s="27">
        <f t="shared" ref="J35:K35" si="17">J33+1</f>
        <v>5</v>
      </c>
      <c r="K35" s="27">
        <f t="shared" si="17"/>
        <v>3</v>
      </c>
      <c r="M35" s="8">
        <f t="shared" si="2"/>
        <v>8</v>
      </c>
      <c r="N35" s="8">
        <f t="shared" si="3"/>
        <v>2</v>
      </c>
    </row>
    <row r="36" ht="22.5" customHeight="1">
      <c r="A36" s="23"/>
      <c r="B36" s="24" t="s">
        <v>11</v>
      </c>
      <c r="C36" s="24" t="s">
        <v>176</v>
      </c>
      <c r="D36" s="7">
        <v>2.0</v>
      </c>
      <c r="E36" s="7">
        <v>8.0</v>
      </c>
      <c r="F36" s="24">
        <v>8.0</v>
      </c>
      <c r="G36" s="23"/>
      <c r="J36" s="27">
        <f>J33+1</f>
        <v>5</v>
      </c>
      <c r="K36" s="27">
        <f>K33+2</f>
        <v>4</v>
      </c>
      <c r="M36" s="8">
        <f t="shared" si="2"/>
        <v>4</v>
      </c>
      <c r="N36" s="8">
        <f t="shared" si="3"/>
        <v>6</v>
      </c>
    </row>
    <row r="37" ht="22.5" customHeight="1">
      <c r="A37" s="23"/>
      <c r="B37" s="24" t="s">
        <v>11</v>
      </c>
      <c r="C37" s="24" t="s">
        <v>183</v>
      </c>
      <c r="D37" s="7">
        <v>6.0</v>
      </c>
      <c r="E37" s="7">
        <v>4.0</v>
      </c>
      <c r="F37" s="24">
        <v>9.0</v>
      </c>
      <c r="G37" s="23"/>
      <c r="J37" s="27">
        <f t="shared" ref="J37:K37" si="18">J33+2</f>
        <v>6</v>
      </c>
      <c r="K37" s="27">
        <f t="shared" si="18"/>
        <v>4</v>
      </c>
      <c r="M37" s="8">
        <f t="shared" si="2"/>
        <v>7</v>
      </c>
      <c r="N37" s="8">
        <f t="shared" si="3"/>
        <v>3</v>
      </c>
    </row>
    <row r="38" ht="22.5" customHeight="1">
      <c r="A38" s="28"/>
      <c r="B38" s="6"/>
      <c r="C38" s="6"/>
      <c r="D38" s="5"/>
      <c r="E38" s="5"/>
      <c r="F38" s="6"/>
      <c r="G38" s="6"/>
    </row>
    <row r="39" ht="22.5" customHeight="1">
      <c r="A39" s="28"/>
      <c r="B39" s="6"/>
      <c r="C39" s="6"/>
      <c r="D39" s="5"/>
      <c r="E39" s="5"/>
      <c r="F39" s="6"/>
      <c r="G39" s="6"/>
    </row>
    <row r="40" ht="22.5" customHeight="1">
      <c r="A40" s="28"/>
      <c r="B40" s="6"/>
      <c r="C40" s="6"/>
      <c r="D40" s="5"/>
      <c r="E40" s="5"/>
      <c r="F40" s="6"/>
      <c r="G40" s="6"/>
    </row>
    <row r="41" ht="22.5" customHeight="1">
      <c r="A41" s="28"/>
      <c r="B41" s="6"/>
      <c r="C41" s="6"/>
      <c r="D41" s="5"/>
      <c r="E41" s="5"/>
      <c r="F41" s="6"/>
      <c r="G41" s="6"/>
    </row>
    <row r="42" ht="22.5" customHeight="1">
      <c r="A42" s="28"/>
      <c r="B42" s="6"/>
      <c r="C42" s="6"/>
      <c r="D42" s="5"/>
      <c r="E42" s="5"/>
      <c r="F42" s="6"/>
      <c r="G42" s="6"/>
    </row>
    <row r="43" ht="22.5" customHeight="1">
      <c r="A43" s="28"/>
      <c r="B43" s="6"/>
      <c r="C43" s="6"/>
      <c r="D43" s="5"/>
      <c r="E43" s="5"/>
      <c r="F43" s="6"/>
      <c r="G43" s="6"/>
    </row>
    <row r="44" ht="22.5" customHeight="1">
      <c r="A44" s="28"/>
      <c r="B44" s="6"/>
      <c r="C44" s="6"/>
      <c r="D44" s="5"/>
      <c r="E44" s="5"/>
      <c r="F44" s="6"/>
      <c r="G44" s="6"/>
    </row>
    <row r="45" ht="22.5" customHeight="1">
      <c r="A45" s="28"/>
      <c r="B45" s="6"/>
      <c r="C45" s="11"/>
      <c r="D45" s="5"/>
      <c r="E45" s="5"/>
      <c r="F45" s="6"/>
      <c r="G45" s="6"/>
    </row>
  </sheetData>
  <dataValidations>
    <dataValidation allowBlank="1" showDropDown="1" sqref="C2:C45"/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0.5"/>
    <col customWidth="1" min="8" max="8" width="91.13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4</v>
      </c>
      <c r="E1" s="3" t="s">
        <v>6</v>
      </c>
      <c r="F1" s="3" t="s">
        <v>9</v>
      </c>
      <c r="G1" s="1" t="s">
        <v>10</v>
      </c>
      <c r="H1" s="1" t="s">
        <v>8</v>
      </c>
    </row>
    <row r="2" ht="22.5" customHeight="1">
      <c r="C2" s="6" t="s">
        <v>13</v>
      </c>
      <c r="D2" s="5" t="s">
        <v>6</v>
      </c>
      <c r="E2" s="5">
        <v>5.0</v>
      </c>
      <c r="F2" s="5">
        <v>4.0</v>
      </c>
      <c r="G2" s="6">
        <v>5.0</v>
      </c>
      <c r="H2" s="6" t="s">
        <v>20</v>
      </c>
    </row>
    <row r="3" ht="22.5" customHeight="1">
      <c r="C3" s="6" t="s">
        <v>21</v>
      </c>
      <c r="D3" s="5" t="s">
        <v>6</v>
      </c>
      <c r="E3" s="5">
        <v>5.0</v>
      </c>
      <c r="F3" s="5">
        <v>5.0</v>
      </c>
      <c r="G3" s="6">
        <v>5.0</v>
      </c>
      <c r="H3" s="6" t="s">
        <v>23</v>
      </c>
    </row>
    <row r="4" ht="22.5" customHeight="1">
      <c r="C4" s="6" t="s">
        <v>24</v>
      </c>
      <c r="D4" s="5" t="s">
        <v>26</v>
      </c>
      <c r="E4" s="5">
        <v>0.0</v>
      </c>
      <c r="F4" s="5">
        <v>8.0</v>
      </c>
      <c r="G4" s="6">
        <v>9.0</v>
      </c>
      <c r="H4" s="6" t="s">
        <v>29</v>
      </c>
    </row>
    <row r="5" ht="22.5" customHeight="1">
      <c r="C5" s="6" t="s">
        <v>31</v>
      </c>
      <c r="D5" s="5" t="s">
        <v>32</v>
      </c>
      <c r="E5" s="5">
        <v>4.0</v>
      </c>
      <c r="F5" s="5">
        <v>6.0</v>
      </c>
      <c r="G5" s="6">
        <v>6.0</v>
      </c>
      <c r="H5" s="6" t="s">
        <v>34</v>
      </c>
    </row>
    <row r="6" ht="22.5" customHeight="1">
      <c r="C6" s="6" t="s">
        <v>35</v>
      </c>
      <c r="D6" s="5" t="s">
        <v>32</v>
      </c>
      <c r="E6" s="5">
        <v>6.0</v>
      </c>
      <c r="F6" s="5">
        <v>3.0</v>
      </c>
      <c r="G6" s="6">
        <v>4.0</v>
      </c>
      <c r="H6" s="6" t="s">
        <v>39</v>
      </c>
    </row>
    <row r="7" ht="22.5" customHeight="1">
      <c r="C7" s="6" t="s">
        <v>40</v>
      </c>
      <c r="D7" s="5" t="s">
        <v>26</v>
      </c>
      <c r="E7" s="5">
        <v>12.0</v>
      </c>
      <c r="F7" s="5">
        <v>0.0</v>
      </c>
      <c r="G7" s="6">
        <v>9.0</v>
      </c>
      <c r="H7" s="6" t="s">
        <v>43</v>
      </c>
    </row>
    <row r="8" ht="22.5" customHeight="1">
      <c r="C8" s="6" t="s">
        <v>46</v>
      </c>
      <c r="D8" s="5" t="s">
        <v>6</v>
      </c>
      <c r="E8" s="5">
        <v>6.0</v>
      </c>
      <c r="F8" s="5">
        <v>3.0</v>
      </c>
      <c r="G8" s="6">
        <v>7.0</v>
      </c>
      <c r="H8" s="6" t="s">
        <v>50</v>
      </c>
      <c r="K8" s="10"/>
      <c r="L8" s="10"/>
    </row>
    <row r="9" ht="22.5" customHeight="1">
      <c r="C9" s="11" t="s">
        <v>52</v>
      </c>
      <c r="D9" s="5" t="s">
        <v>26</v>
      </c>
      <c r="E9" s="5">
        <v>7.0</v>
      </c>
      <c r="F9" s="5">
        <v>7.0</v>
      </c>
      <c r="G9" s="6">
        <v>7.0</v>
      </c>
      <c r="H9" s="6" t="s">
        <v>54</v>
      </c>
      <c r="K9" s="10"/>
      <c r="L9" s="10"/>
    </row>
    <row r="10" ht="22.5" customHeight="1">
      <c r="C10" s="12" t="s">
        <v>56</v>
      </c>
      <c r="D10" s="5" t="s">
        <v>32</v>
      </c>
      <c r="E10" s="4">
        <v>8.0</v>
      </c>
      <c r="F10" s="4">
        <v>1.0</v>
      </c>
      <c r="G10" s="4">
        <v>3.0</v>
      </c>
      <c r="H10" s="5" t="s">
        <v>67</v>
      </c>
      <c r="K10" s="10"/>
      <c r="L10" s="10"/>
    </row>
    <row r="11" ht="22.5" customHeight="1">
      <c r="B11" s="4"/>
      <c r="C11" s="4" t="s">
        <v>71</v>
      </c>
      <c r="D11" s="5" t="s">
        <v>6</v>
      </c>
      <c r="E11" s="4">
        <v>9.0</v>
      </c>
      <c r="F11" s="4">
        <v>0.0</v>
      </c>
      <c r="G11" s="4">
        <v>5.0</v>
      </c>
      <c r="H11" s="4" t="s">
        <v>74</v>
      </c>
    </row>
    <row r="12" ht="22.5" customHeight="1">
      <c r="B12" s="4"/>
      <c r="C12" s="4" t="s">
        <v>76</v>
      </c>
      <c r="D12" s="4" t="s">
        <v>78</v>
      </c>
      <c r="E12" s="4">
        <v>4.0</v>
      </c>
      <c r="F12" s="4">
        <v>5.0</v>
      </c>
      <c r="G12" s="4">
        <v>2.0</v>
      </c>
      <c r="H12" s="4" t="s">
        <v>80</v>
      </c>
    </row>
    <row r="13" ht="22.5" customHeight="1">
      <c r="B13" s="4"/>
      <c r="C13" s="4" t="s">
        <v>81</v>
      </c>
      <c r="D13" s="4" t="s">
        <v>78</v>
      </c>
      <c r="E13" s="4">
        <v>4.0</v>
      </c>
      <c r="F13" s="4">
        <v>5.0</v>
      </c>
      <c r="G13" s="4">
        <v>3.0</v>
      </c>
      <c r="H13" s="4" t="s">
        <v>83</v>
      </c>
    </row>
    <row r="14" ht="22.5" customHeight="1">
      <c r="B14" s="4"/>
      <c r="C14" s="4" t="s">
        <v>84</v>
      </c>
      <c r="D14" s="4" t="s">
        <v>85</v>
      </c>
      <c r="E14" s="4">
        <v>5.0</v>
      </c>
      <c r="F14" s="4">
        <v>3.0</v>
      </c>
      <c r="G14" s="4">
        <v>1.0</v>
      </c>
      <c r="H14" s="4" t="s">
        <v>87</v>
      </c>
    </row>
    <row r="15" ht="22.5" customHeight="1">
      <c r="B15" s="4"/>
      <c r="C15" s="4" t="s">
        <v>88</v>
      </c>
      <c r="D15" s="4" t="s">
        <v>85</v>
      </c>
      <c r="E15" s="4">
        <v>5.0</v>
      </c>
      <c r="F15" s="4">
        <v>3.0</v>
      </c>
      <c r="G15" s="4">
        <v>1.0</v>
      </c>
      <c r="H15" s="4" t="s">
        <v>89</v>
      </c>
      <c r="K15" s="13"/>
      <c r="L15" s="13"/>
    </row>
    <row r="16" ht="22.5" customHeight="1">
      <c r="B16" s="4"/>
      <c r="C16" s="4" t="s">
        <v>91</v>
      </c>
      <c r="D16" s="4" t="s">
        <v>92</v>
      </c>
      <c r="E16" s="4">
        <v>0.0</v>
      </c>
      <c r="F16" s="4">
        <v>7.0</v>
      </c>
      <c r="G16" s="4">
        <v>4.0</v>
      </c>
      <c r="H16" s="4" t="s">
        <v>93</v>
      </c>
    </row>
    <row r="17" ht="22.5" customHeight="1">
      <c r="B17" s="4"/>
      <c r="C17" s="4" t="s">
        <v>94</v>
      </c>
      <c r="D17" s="4" t="s">
        <v>92</v>
      </c>
      <c r="E17" s="4">
        <v>4.0</v>
      </c>
      <c r="F17" s="4">
        <v>3.0</v>
      </c>
      <c r="G17" s="4">
        <v>4.0</v>
      </c>
      <c r="H17" s="4" t="s">
        <v>96</v>
      </c>
      <c r="K17" s="13"/>
      <c r="L17" s="13"/>
    </row>
    <row r="18" ht="22.5" customHeight="1">
      <c r="B18" s="4"/>
      <c r="C18" s="4" t="s">
        <v>97</v>
      </c>
      <c r="D18" s="4" t="s">
        <v>98</v>
      </c>
      <c r="E18" s="4">
        <v>2.0</v>
      </c>
      <c r="F18" s="4">
        <v>0.0</v>
      </c>
      <c r="G18" s="4">
        <v>3.0</v>
      </c>
      <c r="H18" s="4" t="s">
        <v>100</v>
      </c>
      <c r="K18" s="13"/>
      <c r="L18" s="13"/>
    </row>
    <row r="19" ht="22.5" customHeight="1">
      <c r="B19" s="4"/>
      <c r="C19" s="4" t="s">
        <v>101</v>
      </c>
      <c r="D19" s="4" t="s">
        <v>98</v>
      </c>
      <c r="E19" s="4">
        <v>1.0</v>
      </c>
      <c r="F19" s="4">
        <v>1.0</v>
      </c>
      <c r="G19" s="4">
        <v>4.0</v>
      </c>
      <c r="H19" s="4" t="s">
        <v>102</v>
      </c>
      <c r="K19" s="13"/>
      <c r="L19" s="13"/>
    </row>
    <row r="20" ht="22.5" customHeight="1">
      <c r="B20" s="4"/>
      <c r="C20" s="4" t="s">
        <v>104</v>
      </c>
      <c r="D20" s="4" t="s">
        <v>98</v>
      </c>
      <c r="E20" s="4">
        <v>2.0</v>
      </c>
      <c r="F20" s="4">
        <v>0.0</v>
      </c>
      <c r="G20" s="4">
        <v>5.0</v>
      </c>
      <c r="H20" s="4" t="s">
        <v>105</v>
      </c>
    </row>
    <row r="21" ht="22.5" customHeight="1">
      <c r="B21" s="4"/>
      <c r="C21" s="4" t="s">
        <v>106</v>
      </c>
      <c r="D21" s="4" t="s">
        <v>98</v>
      </c>
      <c r="E21" s="4">
        <v>1.0</v>
      </c>
      <c r="F21" s="4">
        <v>1.0</v>
      </c>
      <c r="G21" s="4">
        <v>6.0</v>
      </c>
      <c r="H21" s="4" t="s">
        <v>108</v>
      </c>
    </row>
    <row r="22" ht="22.5" customHeight="1">
      <c r="B22" s="4"/>
      <c r="C22" s="4" t="s">
        <v>109</v>
      </c>
      <c r="D22" s="4" t="s">
        <v>98</v>
      </c>
      <c r="E22" s="4">
        <v>2.0</v>
      </c>
      <c r="F22" s="4">
        <v>0.0</v>
      </c>
      <c r="G22" s="4">
        <v>7.0</v>
      </c>
      <c r="H22" s="4" t="s">
        <v>111</v>
      </c>
    </row>
    <row r="23" ht="22.5" customHeight="1">
      <c r="B23" s="4"/>
      <c r="C23" s="4" t="s">
        <v>112</v>
      </c>
      <c r="D23" s="4" t="s">
        <v>98</v>
      </c>
      <c r="E23" s="4">
        <v>5.0</v>
      </c>
      <c r="F23" s="4">
        <v>4.0</v>
      </c>
      <c r="G23" s="4">
        <v>1.0</v>
      </c>
      <c r="H23" s="4" t="s">
        <v>114</v>
      </c>
    </row>
    <row r="24" ht="22.5" customHeight="1">
      <c r="B24" s="4"/>
      <c r="C24" s="4" t="s">
        <v>115</v>
      </c>
      <c r="D24" s="4" t="s">
        <v>98</v>
      </c>
      <c r="E24" s="4">
        <v>4.0</v>
      </c>
      <c r="F24" s="4">
        <v>5.0</v>
      </c>
      <c r="G24" s="4">
        <v>3.0</v>
      </c>
      <c r="H24" s="4" t="s">
        <v>116</v>
      </c>
      <c r="K24" s="13"/>
      <c r="L24" s="13"/>
    </row>
    <row r="25" ht="22.5" customHeight="1">
      <c r="B25" s="4"/>
      <c r="C25" s="4" t="s">
        <v>118</v>
      </c>
      <c r="D25" s="4" t="s">
        <v>98</v>
      </c>
      <c r="E25" s="4">
        <v>7.0</v>
      </c>
      <c r="F25" s="4">
        <v>3.0</v>
      </c>
      <c r="G25" s="4">
        <v>6.0</v>
      </c>
      <c r="H25" s="4" t="s">
        <v>119</v>
      </c>
    </row>
    <row r="26" ht="22.5" customHeight="1">
      <c r="B26" s="4"/>
      <c r="C26" s="4" t="s">
        <v>121</v>
      </c>
      <c r="D26" s="4" t="s">
        <v>98</v>
      </c>
      <c r="E26" s="4">
        <v>6.0</v>
      </c>
      <c r="F26" s="4">
        <v>3.0</v>
      </c>
      <c r="G26" s="4">
        <v>6.0</v>
      </c>
      <c r="H26" s="4" t="s">
        <v>122</v>
      </c>
      <c r="K26" s="13"/>
      <c r="L26" s="13"/>
    </row>
    <row r="27" ht="22.5" customHeight="1">
      <c r="B27" s="4"/>
      <c r="C27" s="4" t="s">
        <v>123</v>
      </c>
      <c r="D27" s="4" t="s">
        <v>98</v>
      </c>
      <c r="E27" s="4">
        <v>3.0</v>
      </c>
      <c r="F27" s="4">
        <v>6.0</v>
      </c>
      <c r="G27" s="4">
        <v>9.0</v>
      </c>
      <c r="H27" s="4" t="s">
        <v>125</v>
      </c>
      <c r="K27" s="13"/>
      <c r="L27" s="13"/>
    </row>
    <row r="28" ht="22.5" customHeight="1">
      <c r="B28" s="4"/>
      <c r="C28" s="4" t="s">
        <v>126</v>
      </c>
      <c r="D28" s="4" t="s">
        <v>32</v>
      </c>
      <c r="E28" s="4">
        <v>4.0</v>
      </c>
      <c r="F28" s="4">
        <v>5.0</v>
      </c>
      <c r="G28" s="4">
        <v>5.0</v>
      </c>
      <c r="H28" s="4" t="s">
        <v>128</v>
      </c>
      <c r="K28" s="13"/>
      <c r="L28" s="13"/>
    </row>
    <row r="29" ht="22.5" customHeight="1">
      <c r="B29" s="4"/>
      <c r="C29" s="4"/>
      <c r="G29" s="4"/>
    </row>
    <row r="30" ht="22.5" customHeight="1">
      <c r="B30" s="4"/>
      <c r="C30" s="4"/>
      <c r="G30" s="4"/>
    </row>
    <row r="31" ht="22.5" customHeight="1">
      <c r="B31" s="4"/>
      <c r="C31" s="4"/>
      <c r="G31" s="4"/>
    </row>
    <row r="32" ht="22.5" customHeight="1">
      <c r="B32" s="4"/>
      <c r="C32" s="4"/>
      <c r="G32" s="4"/>
    </row>
    <row r="33" ht="22.5" customHeight="1">
      <c r="B33" s="4"/>
      <c r="C33" s="4"/>
      <c r="G33" s="4"/>
      <c r="K33" s="13"/>
      <c r="L33" s="13"/>
    </row>
    <row r="34" ht="22.5" customHeight="1">
      <c r="B34" s="4"/>
      <c r="C34" s="4"/>
      <c r="G34" s="4"/>
    </row>
    <row r="35" ht="22.5" customHeight="1">
      <c r="B35" s="4"/>
      <c r="C35" s="4"/>
      <c r="G35" s="4"/>
      <c r="K35" s="13"/>
      <c r="L35" s="13"/>
    </row>
    <row r="36" ht="22.5" customHeight="1">
      <c r="B36" s="4"/>
      <c r="C36" s="4"/>
      <c r="G36" s="4"/>
      <c r="K36" s="13"/>
      <c r="L36" s="13"/>
    </row>
    <row r="37" ht="22.5" customHeight="1">
      <c r="B37" s="4"/>
      <c r="C37" s="4"/>
      <c r="G37" s="4"/>
      <c r="K37" s="13"/>
      <c r="L37" s="13"/>
    </row>
    <row r="38" ht="22.5" customHeight="1">
      <c r="A38" s="9"/>
      <c r="B38" s="5"/>
      <c r="C38" s="21"/>
    </row>
    <row r="39" ht="22.5" customHeight="1">
      <c r="A39" s="9"/>
      <c r="B39" s="5"/>
      <c r="C39" s="21"/>
    </row>
    <row r="40" ht="22.5" customHeight="1">
      <c r="A40" s="9"/>
      <c r="B40" s="5"/>
      <c r="C40" s="21"/>
    </row>
    <row r="41" ht="22.5" customHeight="1">
      <c r="A41" s="9"/>
      <c r="B41" s="5"/>
      <c r="C41" s="21"/>
    </row>
    <row r="42" ht="22.5" customHeight="1">
      <c r="A42" s="9"/>
      <c r="B42" s="5"/>
      <c r="C42" s="21"/>
    </row>
    <row r="43" ht="22.5" customHeight="1">
      <c r="A43" s="9"/>
      <c r="B43" s="5"/>
      <c r="C43" s="21"/>
    </row>
    <row r="44" ht="22.5" customHeight="1">
      <c r="A44" s="9"/>
      <c r="B44" s="5"/>
      <c r="C44" s="21"/>
    </row>
    <row r="45" ht="22.5" customHeight="1">
      <c r="A45" s="9"/>
      <c r="B45" s="5"/>
      <c r="C45" s="21"/>
    </row>
  </sheetData>
  <dataValidations>
    <dataValidation allowBlank="1" showDropDown="1" sqref="C2:C45"/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13"/>
    <col customWidth="1" min="6" max="6" width="12.13"/>
    <col customWidth="1" min="7" max="7" width="50.3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3" t="s">
        <v>7</v>
      </c>
      <c r="G1" s="3" t="s">
        <v>8</v>
      </c>
    </row>
    <row r="2" ht="22.5" customHeight="1">
      <c r="A2" s="4"/>
      <c r="B2" s="4" t="s">
        <v>11</v>
      </c>
      <c r="C2" s="5" t="s">
        <v>12</v>
      </c>
      <c r="D2" s="4">
        <v>3.0</v>
      </c>
      <c r="E2" s="4" t="s">
        <v>14</v>
      </c>
      <c r="F2" s="5" t="s">
        <v>15</v>
      </c>
      <c r="G2" s="5" t="s">
        <v>17</v>
      </c>
    </row>
    <row r="3" ht="22.5" customHeight="1">
      <c r="A3" s="4"/>
      <c r="B3" s="4" t="s">
        <v>11</v>
      </c>
      <c r="C3" s="4" t="s">
        <v>18</v>
      </c>
      <c r="D3" s="4">
        <v>6.0</v>
      </c>
      <c r="E3" s="4" t="s">
        <v>19</v>
      </c>
      <c r="F3" s="4" t="s">
        <v>15</v>
      </c>
      <c r="G3" s="4" t="s">
        <v>22</v>
      </c>
    </row>
    <row r="4" ht="22.5" customHeight="1">
      <c r="A4" s="4"/>
      <c r="B4" s="4" t="s">
        <v>11</v>
      </c>
      <c r="C4" s="4" t="s">
        <v>28</v>
      </c>
      <c r="D4" s="4">
        <v>4.0</v>
      </c>
      <c r="E4" s="4" t="s">
        <v>14</v>
      </c>
      <c r="F4" s="4" t="s">
        <v>15</v>
      </c>
      <c r="G4" s="5" t="s">
        <v>33</v>
      </c>
    </row>
    <row r="5" ht="22.5" customHeight="1">
      <c r="A5" s="4"/>
      <c r="B5" s="4" t="s">
        <v>11</v>
      </c>
    </row>
    <row r="6" ht="22.5" customHeight="1">
      <c r="A6" s="4"/>
      <c r="B6" s="4" t="s">
        <v>11</v>
      </c>
    </row>
    <row r="7" ht="22.5" customHeight="1">
      <c r="A7" s="4"/>
      <c r="B7" s="4" t="s">
        <v>11</v>
      </c>
    </row>
    <row r="8" ht="22.5" customHeight="1">
      <c r="A8" s="4"/>
      <c r="B8" s="4" t="s">
        <v>11</v>
      </c>
      <c r="E8" s="9"/>
      <c r="F8" s="9"/>
      <c r="G8" s="9"/>
    </row>
    <row r="9" ht="22.5" customHeight="1">
      <c r="A9" s="4"/>
      <c r="B9" s="4" t="s">
        <v>11</v>
      </c>
      <c r="E9" s="9"/>
      <c r="F9" s="9"/>
      <c r="G9" s="9"/>
    </row>
    <row r="10" ht="22.5" customHeight="1">
      <c r="A10" s="4"/>
      <c r="B10" s="4" t="s">
        <v>11</v>
      </c>
      <c r="E10" s="9"/>
      <c r="F10" s="9"/>
      <c r="G10" s="9"/>
    </row>
    <row r="11" ht="22.5" customHeight="1">
      <c r="B11" s="4" t="s">
        <v>11</v>
      </c>
      <c r="E11" s="5"/>
      <c r="F11" s="5"/>
    </row>
    <row r="12" ht="22.5" customHeight="1">
      <c r="B12" s="4" t="s">
        <v>11</v>
      </c>
      <c r="C12" s="4" t="s">
        <v>59</v>
      </c>
      <c r="D12" s="4">
        <v>7.0</v>
      </c>
      <c r="E12" s="5" t="s">
        <v>61</v>
      </c>
      <c r="F12" s="5">
        <v>4.0</v>
      </c>
      <c r="G12" s="5" t="s">
        <v>63</v>
      </c>
    </row>
    <row r="13" ht="22.5" customHeight="1">
      <c r="A13" s="9"/>
      <c r="B13" s="4" t="s">
        <v>11</v>
      </c>
      <c r="C13" s="4" t="s">
        <v>66</v>
      </c>
      <c r="D13" s="4">
        <v>10.0</v>
      </c>
      <c r="E13" s="5" t="s">
        <v>61</v>
      </c>
      <c r="F13" s="4">
        <v>2.0</v>
      </c>
      <c r="G13" s="4" t="s">
        <v>72</v>
      </c>
    </row>
    <row r="14" ht="22.5" customHeight="1">
      <c r="A14" s="9"/>
      <c r="B14" s="4" t="s">
        <v>11</v>
      </c>
      <c r="E14" s="9"/>
      <c r="F14" s="9"/>
      <c r="G14" s="9"/>
    </row>
    <row r="15" ht="22.5" customHeight="1">
      <c r="A15" s="9"/>
      <c r="B15" s="4" t="s">
        <v>11</v>
      </c>
      <c r="E15" s="9"/>
      <c r="F15" s="9"/>
      <c r="G15" s="9"/>
    </row>
    <row r="16" ht="22.5" customHeight="1">
      <c r="A16" s="9"/>
      <c r="B16" s="4" t="s">
        <v>11</v>
      </c>
      <c r="E16" s="9"/>
    </row>
    <row r="17" ht="22.5" customHeight="1">
      <c r="A17" s="9"/>
      <c r="B17" s="4" t="s">
        <v>11</v>
      </c>
      <c r="E17" s="9"/>
    </row>
    <row r="18" ht="22.5" customHeight="1">
      <c r="A18" s="9"/>
      <c r="B18" s="4" t="s">
        <v>11</v>
      </c>
      <c r="E18" s="9"/>
    </row>
    <row r="19" ht="22.5" customHeight="1">
      <c r="A19" s="9"/>
      <c r="B19" s="4" t="s">
        <v>11</v>
      </c>
      <c r="E19" s="9"/>
    </row>
    <row r="20" ht="22.5" customHeight="1">
      <c r="A20" s="9"/>
      <c r="B20" s="4" t="s">
        <v>11</v>
      </c>
      <c r="C20" s="5"/>
      <c r="E20" s="9"/>
    </row>
    <row r="21" ht="22.5" customHeight="1">
      <c r="A21" s="9"/>
      <c r="B21" s="4" t="s">
        <v>11</v>
      </c>
      <c r="C21" s="5"/>
      <c r="E21" s="9"/>
    </row>
    <row r="22" ht="22.5" customHeight="1">
      <c r="A22" s="9"/>
      <c r="B22" s="4" t="s">
        <v>11</v>
      </c>
      <c r="C22" s="5"/>
      <c r="E22" s="9"/>
    </row>
    <row r="23" ht="22.5" customHeight="1">
      <c r="A23" s="9"/>
      <c r="B23" s="4" t="s">
        <v>11</v>
      </c>
      <c r="C23" s="5"/>
      <c r="E23" s="9"/>
    </row>
    <row r="24" ht="22.5" customHeight="1">
      <c r="A24" s="9"/>
      <c r="B24" s="4" t="s">
        <v>11</v>
      </c>
      <c r="C24" s="5"/>
      <c r="E24" s="9"/>
    </row>
    <row r="25" ht="22.5" customHeight="1">
      <c r="A25" s="9"/>
      <c r="B25" s="4" t="s">
        <v>11</v>
      </c>
      <c r="C25" s="5"/>
      <c r="E25" s="9"/>
    </row>
    <row r="26" ht="22.5" customHeight="1">
      <c r="A26" s="9"/>
      <c r="B26" s="4" t="s">
        <v>11</v>
      </c>
      <c r="C26" s="5"/>
      <c r="E26" s="9"/>
    </row>
    <row r="27" ht="22.5" customHeight="1">
      <c r="A27" s="9"/>
      <c r="B27" s="4" t="s">
        <v>11</v>
      </c>
      <c r="C27" s="5"/>
      <c r="E27" s="9"/>
    </row>
    <row r="28" ht="22.5" customHeight="1">
      <c r="A28" s="9"/>
      <c r="B28" s="4" t="s">
        <v>11</v>
      </c>
      <c r="C28" s="5"/>
      <c r="E28" s="9"/>
    </row>
    <row r="29" ht="22.5" customHeight="1">
      <c r="A29" s="9"/>
      <c r="B29" s="4" t="s">
        <v>11</v>
      </c>
      <c r="C29" s="5"/>
      <c r="E29" s="9"/>
    </row>
    <row r="30" ht="22.5" customHeight="1">
      <c r="A30" s="9"/>
      <c r="B30" s="4" t="s">
        <v>11</v>
      </c>
      <c r="C30" s="5"/>
      <c r="E30" s="9"/>
    </row>
    <row r="31" ht="22.5" customHeight="1">
      <c r="A31" s="9"/>
      <c r="B31" s="4" t="s">
        <v>11</v>
      </c>
      <c r="C31" s="5"/>
      <c r="E31" s="9"/>
    </row>
    <row r="32" ht="22.5" customHeight="1">
      <c r="A32" s="9"/>
      <c r="B32" s="4" t="s">
        <v>11</v>
      </c>
      <c r="C32" s="5"/>
      <c r="E32" s="9"/>
    </row>
    <row r="33" ht="22.5" customHeight="1">
      <c r="A33" s="9"/>
      <c r="B33" s="4" t="s">
        <v>11</v>
      </c>
      <c r="C33" s="5"/>
      <c r="E33" s="9"/>
    </row>
    <row r="34" ht="22.5" customHeight="1">
      <c r="A34" s="9"/>
      <c r="B34" s="4" t="s">
        <v>11</v>
      </c>
      <c r="C34" s="5"/>
      <c r="E34" s="9"/>
    </row>
    <row r="35" ht="22.5" customHeight="1">
      <c r="A35" s="9"/>
      <c r="B35" s="4" t="s">
        <v>11</v>
      </c>
      <c r="C35" s="5"/>
      <c r="E35" s="9"/>
    </row>
    <row r="36" ht="22.5" customHeight="1">
      <c r="A36" s="9"/>
      <c r="B36" s="4" t="s">
        <v>11</v>
      </c>
      <c r="C36" s="5"/>
      <c r="E36" s="9"/>
    </row>
    <row r="37" ht="22.5" customHeight="1">
      <c r="A37" s="9"/>
      <c r="B37" s="4" t="s">
        <v>11</v>
      </c>
      <c r="C37" s="5"/>
      <c r="E37" s="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13"/>
    <col customWidth="1" min="6" max="6" width="42.5"/>
    <col customWidth="1" min="7" max="7" width="42.25"/>
  </cols>
  <sheetData>
    <row r="1" ht="22.5" customHeight="1">
      <c r="A1" s="1" t="s">
        <v>0</v>
      </c>
      <c r="B1" s="2" t="s">
        <v>1</v>
      </c>
      <c r="C1" s="1" t="s">
        <v>25</v>
      </c>
      <c r="D1" s="2" t="s">
        <v>27</v>
      </c>
      <c r="E1" s="1" t="s">
        <v>3</v>
      </c>
      <c r="F1" s="1" t="s">
        <v>8</v>
      </c>
      <c r="G1" s="3" t="s">
        <v>30</v>
      </c>
    </row>
    <row r="2" ht="22.5" customHeight="1">
      <c r="A2" s="4"/>
    </row>
    <row r="3" ht="22.5" customHeight="1">
      <c r="A3" s="4"/>
    </row>
    <row r="4" ht="22.5" customHeight="1">
      <c r="A4" s="4"/>
    </row>
    <row r="5" ht="22.5" customHeight="1">
      <c r="A5" s="4"/>
    </row>
    <row r="6" ht="22.5" customHeight="1">
      <c r="A6" s="4"/>
    </row>
    <row r="7" ht="22.5" customHeight="1">
      <c r="A7" s="4"/>
      <c r="B7" s="4" t="s">
        <v>37</v>
      </c>
      <c r="C7" s="4" t="s">
        <v>38</v>
      </c>
      <c r="D7" s="4">
        <v>50.0</v>
      </c>
      <c r="E7" s="4">
        <v>8.0</v>
      </c>
      <c r="F7" s="4" t="s">
        <v>41</v>
      </c>
      <c r="G7" s="4" t="s">
        <v>42</v>
      </c>
    </row>
    <row r="8" ht="22.5" customHeight="1">
      <c r="A8" s="4"/>
      <c r="B8" s="4" t="s">
        <v>44</v>
      </c>
      <c r="C8" s="4" t="s">
        <v>45</v>
      </c>
      <c r="D8" s="4">
        <v>50.0</v>
      </c>
      <c r="E8" s="4">
        <v>8.0</v>
      </c>
      <c r="F8" s="5" t="s">
        <v>47</v>
      </c>
      <c r="G8" s="5" t="s">
        <v>49</v>
      </c>
    </row>
    <row r="9" ht="22.5" customHeight="1">
      <c r="A9" s="4"/>
      <c r="B9" s="4" t="s">
        <v>51</v>
      </c>
      <c r="C9" s="4" t="s">
        <v>51</v>
      </c>
      <c r="D9" s="4">
        <v>50.0</v>
      </c>
      <c r="E9" s="4">
        <v>8.0</v>
      </c>
      <c r="F9" s="4" t="s">
        <v>53</v>
      </c>
      <c r="G9" s="4" t="s">
        <v>55</v>
      </c>
    </row>
    <row r="10" ht="22.5" customHeight="1">
      <c r="A10" s="4"/>
      <c r="B10" s="4" t="s">
        <v>57</v>
      </c>
      <c r="F10" s="5"/>
    </row>
    <row r="11" ht="22.5" customHeight="1">
      <c r="B11" s="4" t="s">
        <v>60</v>
      </c>
      <c r="C11" s="4" t="s">
        <v>60</v>
      </c>
      <c r="D11" s="4">
        <v>50.0</v>
      </c>
      <c r="E11" s="4">
        <v>8.0</v>
      </c>
      <c r="F11" s="4" t="s">
        <v>62</v>
      </c>
      <c r="G11" s="4" t="s">
        <v>64</v>
      </c>
    </row>
    <row r="12" ht="22.5" customHeight="1">
      <c r="B12" s="4" t="s">
        <v>44</v>
      </c>
      <c r="C12" s="4" t="s">
        <v>65</v>
      </c>
      <c r="D12" s="4">
        <v>50.0</v>
      </c>
      <c r="E12" s="4">
        <v>8.0</v>
      </c>
      <c r="F12" s="5" t="s">
        <v>69</v>
      </c>
      <c r="G12" s="4" t="s">
        <v>70</v>
      </c>
    </row>
    <row r="13" ht="22.5" customHeight="1">
      <c r="A13" s="9"/>
      <c r="B13" s="4" t="s">
        <v>37</v>
      </c>
      <c r="C13" s="4" t="s">
        <v>73</v>
      </c>
      <c r="D13" s="4">
        <v>50.0</v>
      </c>
      <c r="E13" s="4">
        <v>8.0</v>
      </c>
      <c r="F13" s="5" t="s">
        <v>77</v>
      </c>
      <c r="G13" s="4" t="s">
        <v>79</v>
      </c>
    </row>
    <row r="14" ht="22.5" customHeight="1">
      <c r="A14" s="9"/>
      <c r="F14" s="9"/>
    </row>
    <row r="15" ht="22.5" customHeight="1">
      <c r="A15" s="9"/>
      <c r="F15" s="9"/>
    </row>
    <row r="16" ht="22.5" customHeight="1">
      <c r="A16" s="9"/>
      <c r="F16" s="5"/>
    </row>
    <row r="17" ht="22.5" customHeight="1">
      <c r="A17" s="9"/>
      <c r="F17" s="9"/>
    </row>
    <row r="18" ht="22.5" customHeight="1">
      <c r="A18" s="9"/>
      <c r="F18" s="9"/>
    </row>
    <row r="19" ht="22.5" customHeight="1">
      <c r="A19" s="9"/>
      <c r="F19" s="9"/>
    </row>
    <row r="20" ht="22.5" customHeight="1">
      <c r="A20" s="9"/>
      <c r="C20" s="5"/>
      <c r="F20" s="9"/>
    </row>
    <row r="21" ht="22.5" customHeight="1">
      <c r="A21" s="9"/>
      <c r="C21" s="5"/>
      <c r="F21" s="9"/>
    </row>
    <row r="22" ht="22.5" customHeight="1">
      <c r="A22" s="9"/>
      <c r="C22" s="5"/>
      <c r="F22" s="9"/>
    </row>
    <row r="23" ht="22.5" customHeight="1">
      <c r="A23" s="9"/>
      <c r="C23" s="5"/>
      <c r="F23" s="9"/>
    </row>
    <row r="24" ht="22.5" customHeight="1">
      <c r="A24" s="9"/>
      <c r="C24" s="5"/>
      <c r="F24" s="9"/>
    </row>
    <row r="25" ht="22.5" customHeight="1">
      <c r="A25" s="9"/>
      <c r="C25" s="5"/>
      <c r="F25" s="9"/>
    </row>
    <row r="26" ht="22.5" customHeight="1">
      <c r="A26" s="9"/>
      <c r="C26" s="5"/>
      <c r="F26" s="9"/>
    </row>
    <row r="27" ht="22.5" customHeight="1">
      <c r="A27" s="9"/>
      <c r="C27" s="5"/>
      <c r="F27" s="9"/>
    </row>
    <row r="28" ht="22.5" customHeight="1">
      <c r="A28" s="9"/>
      <c r="C28" s="5"/>
      <c r="F28" s="9"/>
    </row>
    <row r="29" ht="22.5" customHeight="1">
      <c r="A29" s="9"/>
      <c r="C29" s="5"/>
      <c r="F29" s="9"/>
    </row>
    <row r="30" ht="22.5" customHeight="1">
      <c r="A30" s="9"/>
      <c r="C30" s="5"/>
      <c r="F30" s="9"/>
    </row>
    <row r="31" ht="22.5" customHeight="1">
      <c r="A31" s="9"/>
      <c r="C31" s="5"/>
      <c r="F31" s="9"/>
    </row>
    <row r="32" ht="22.5" customHeight="1">
      <c r="A32" s="9"/>
      <c r="C32" s="5"/>
      <c r="F32" s="9"/>
    </row>
    <row r="33" ht="22.5" customHeight="1">
      <c r="A33" s="9"/>
      <c r="C33" s="5"/>
      <c r="F33" s="9"/>
    </row>
    <row r="34" ht="22.5" customHeight="1">
      <c r="A34" s="9"/>
      <c r="C34" s="5"/>
      <c r="F34" s="9"/>
    </row>
    <row r="35" ht="22.5" customHeight="1">
      <c r="A35" s="9"/>
      <c r="C35" s="5"/>
      <c r="F35" s="9"/>
    </row>
    <row r="36" ht="22.5" customHeight="1">
      <c r="A36" s="9"/>
      <c r="C36" s="5"/>
      <c r="F36" s="9"/>
    </row>
    <row r="37" ht="22.5" customHeight="1">
      <c r="A37" s="9"/>
      <c r="C37" s="5"/>
      <c r="F37" s="9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43.75"/>
    <col customWidth="1" min="3" max="3" width="40.0"/>
    <col customWidth="1" min="4" max="6" width="22.63"/>
  </cols>
  <sheetData>
    <row r="1" ht="22.5" customHeight="1">
      <c r="A1" s="26" t="s">
        <v>139</v>
      </c>
      <c r="B1" s="26" t="s">
        <v>141</v>
      </c>
      <c r="C1" s="3" t="s">
        <v>142</v>
      </c>
    </row>
    <row r="2" ht="22.5" customHeight="1">
      <c r="A2" s="4" t="s">
        <v>143</v>
      </c>
      <c r="B2" s="4" t="s">
        <v>144</v>
      </c>
      <c r="C2" s="4" t="s">
        <v>146</v>
      </c>
    </row>
    <row r="3" ht="22.5" customHeight="1">
      <c r="A3" s="4" t="s">
        <v>147</v>
      </c>
      <c r="B3" s="4" t="s">
        <v>148</v>
      </c>
      <c r="C3" s="4" t="s">
        <v>149</v>
      </c>
    </row>
    <row r="4" ht="22.5" customHeight="1">
      <c r="A4" s="4" t="s">
        <v>150</v>
      </c>
      <c r="B4" s="4" t="s">
        <v>151</v>
      </c>
      <c r="C4" s="4" t="s">
        <v>152</v>
      </c>
    </row>
    <row r="5" ht="22.5" customHeight="1">
      <c r="A5" s="4" t="s">
        <v>154</v>
      </c>
      <c r="B5" s="4" t="s">
        <v>155</v>
      </c>
      <c r="C5" s="4" t="s">
        <v>156</v>
      </c>
    </row>
    <row r="6" ht="22.5" customHeight="1">
      <c r="A6" s="4" t="s">
        <v>157</v>
      </c>
      <c r="B6" s="4" t="s">
        <v>158</v>
      </c>
      <c r="C6" s="4" t="s">
        <v>159</v>
      </c>
    </row>
    <row r="7" ht="22.5" customHeight="1">
      <c r="A7" s="4" t="s">
        <v>161</v>
      </c>
      <c r="B7" s="4" t="s">
        <v>162</v>
      </c>
      <c r="C7" s="4" t="s">
        <v>163</v>
      </c>
    </row>
    <row r="8" ht="22.5" customHeight="1">
      <c r="A8" s="4" t="s">
        <v>164</v>
      </c>
      <c r="B8" s="4" t="s">
        <v>165</v>
      </c>
      <c r="C8" s="4" t="s">
        <v>166</v>
      </c>
    </row>
    <row r="9" ht="22.5" customHeight="1">
      <c r="A9" s="4" t="s">
        <v>167</v>
      </c>
      <c r="B9" s="4" t="s">
        <v>168</v>
      </c>
      <c r="C9" s="4" t="s">
        <v>170</v>
      </c>
    </row>
    <row r="10" ht="22.5" customHeight="1">
      <c r="A10" s="4" t="s">
        <v>171</v>
      </c>
      <c r="B10" s="4" t="s">
        <v>172</v>
      </c>
      <c r="C10" s="4" t="s">
        <v>173</v>
      </c>
    </row>
    <row r="11" ht="22.5" customHeight="1">
      <c r="A11" s="4" t="s">
        <v>174</v>
      </c>
      <c r="B11" s="4" t="s">
        <v>175</v>
      </c>
      <c r="C11" s="4"/>
    </row>
    <row r="12" ht="22.5" customHeight="1">
      <c r="A12" s="4" t="s">
        <v>177</v>
      </c>
      <c r="B12" s="4" t="s">
        <v>178</v>
      </c>
    </row>
    <row r="13" ht="22.5" customHeight="1">
      <c r="A13" s="4" t="s">
        <v>179</v>
      </c>
      <c r="B13" s="4" t="s">
        <v>180</v>
      </c>
    </row>
    <row r="14" ht="22.5" customHeight="1">
      <c r="A14" s="4" t="s">
        <v>181</v>
      </c>
      <c r="B14" s="4" t="s">
        <v>182</v>
      </c>
    </row>
    <row r="15" ht="22.5" customHeight="1">
      <c r="A15" s="4" t="s">
        <v>184</v>
      </c>
      <c r="B15" s="4" t="s">
        <v>185</v>
      </c>
    </row>
    <row r="16" ht="22.5" customHeight="1">
      <c r="A16" s="4" t="s">
        <v>186</v>
      </c>
      <c r="B16" s="4" t="s">
        <v>187</v>
      </c>
      <c r="C16" s="4" t="s">
        <v>74</v>
      </c>
    </row>
    <row r="17" ht="22.5" customHeight="1">
      <c r="A17" s="4" t="s">
        <v>188</v>
      </c>
      <c r="B17" s="4" t="s">
        <v>189</v>
      </c>
    </row>
    <row r="18" ht="22.5" customHeight="1">
      <c r="A18" s="4" t="s">
        <v>190</v>
      </c>
      <c r="B18" s="4" t="s">
        <v>191</v>
      </c>
    </row>
  </sheetData>
  <drawing r:id="rId1"/>
  <tableParts count="1">
    <tablePart r:id="rId3"/>
  </tableParts>
</worksheet>
</file>